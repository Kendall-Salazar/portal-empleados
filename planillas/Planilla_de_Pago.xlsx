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o" sheetId="1" state="visible" r:id="rId1"/>
    <sheet name="Resumen Mensual" sheetId="2" state="visible" r:id="rId2"/>
    <sheet name="Dashboard" sheetId="3" state="visible" r:id="rId3"/>
    <sheet name="Semana 10" sheetId="4" state="visible" r:id="rId4"/>
    <sheet name="Res. Sem. 1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DD/MM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94A3B8"/>
      <sz val="10"/>
    </font>
    <font>
      <name val="Calibri"/>
      <b val="1"/>
      <color rgb="00FFFFFF"/>
      <sz val="9"/>
    </font>
    <font>
      <name val="Calibri"/>
      <color rgb="001F2937"/>
      <sz val="10"/>
    </font>
    <font>
      <name val="Calibri"/>
      <b val="1"/>
      <color rgb="00FFFFFF"/>
      <sz val="11"/>
    </font>
    <font>
      <name val="Calibri"/>
      <b val="1"/>
      <color rgb="00DBEAFE"/>
      <sz val="12"/>
    </font>
    <font>
      <name val="Calibri"/>
      <b val="1"/>
      <color rgb="006D28D9"/>
      <sz val="10"/>
    </font>
    <font>
      <name val="Calibri"/>
      <b val="1"/>
      <color rgb="00374151"/>
      <sz val="10"/>
    </font>
    <font>
      <name val="Calibri"/>
      <b val="1"/>
      <color rgb="006D28D9"/>
      <sz val="11"/>
    </font>
    <font>
      <name val="Calibri"/>
      <b val="1"/>
      <color rgb="00FFFFFF"/>
      <sz val="12"/>
    </font>
    <font>
      <name val="Calibri"/>
      <b val="1"/>
      <color rgb="001F2937"/>
      <sz val="10"/>
    </font>
    <font>
      <name val="Calibri"/>
      <b val="1"/>
      <color rgb="00D97706"/>
      <sz val="10"/>
    </font>
    <font>
      <name val="Calibri"/>
      <b val="1"/>
      <color rgb="00047857"/>
      <sz val="12"/>
    </font>
    <font>
      <name val="Calibri"/>
      <b val="1"/>
      <color rgb="00FFFFFF"/>
      <sz val="14"/>
    </font>
    <font>
      <name val="Calibri"/>
      <b val="1"/>
      <color rgb="00FEE2E2"/>
      <sz val="12"/>
    </font>
    <font>
      <name val="Calibri"/>
      <b val="1"/>
      <color rgb="00D1FAE5"/>
      <sz val="14"/>
    </font>
    <font>
      <name val="Calibri"/>
      <b val="1"/>
      <color rgb="00047857"/>
      <sz val="11"/>
    </font>
  </fonts>
  <fills count="21">
    <fill>
      <patternFill/>
    </fill>
    <fill>
      <patternFill patternType="gray125"/>
    </fill>
    <fill>
      <patternFill patternType="solid">
        <fgColor rgb="000F1923"/>
        <bgColor rgb="000F1923"/>
      </patternFill>
    </fill>
    <fill>
      <patternFill patternType="solid">
        <fgColor rgb="001B2838"/>
        <bgColor rgb="001B2838"/>
      </patternFill>
    </fill>
    <fill>
      <patternFill patternType="solid">
        <fgColor rgb="000369A1"/>
        <bgColor rgb="000369A1"/>
      </patternFill>
    </fill>
    <fill>
      <patternFill patternType="solid">
        <fgColor rgb="001E40AF"/>
        <bgColor rgb="001E40AF"/>
      </patternFill>
    </fill>
    <fill>
      <patternFill patternType="solid">
        <fgColor rgb="00B91C1C"/>
        <bgColor rgb="00B91C1C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  <fill>
      <patternFill patternType="solid">
        <fgColor rgb="00F3E8FF"/>
        <bgColor rgb="00F3E8FF"/>
      </patternFill>
    </fill>
    <fill>
      <patternFill patternType="solid">
        <fgColor rgb="00FFFFFF"/>
        <bgColor rgb="00FFFFFF"/>
      </patternFill>
    </fill>
    <fill>
      <patternFill patternType="solid">
        <fgColor rgb="002563EB"/>
        <bgColor rgb="002563EB"/>
      </patternFill>
    </fill>
    <fill>
      <patternFill patternType="solid">
        <fgColor rgb="00243447"/>
        <bgColor rgb="00243447"/>
      </patternFill>
    </fill>
    <fill>
      <patternFill patternType="solid">
        <fgColor rgb="00D97706"/>
        <bgColor rgb="00D97706"/>
      </patternFill>
    </fill>
    <fill>
      <patternFill patternType="solid">
        <fgColor rgb="00DBEAFE"/>
        <bgColor rgb="00DBEAFE"/>
      </patternFill>
    </fill>
    <fill>
      <patternFill patternType="solid">
        <fgColor rgb="00F7F9FC"/>
        <bgColor rgb="00F7F9FC"/>
      </patternFill>
    </fill>
    <fill>
      <patternFill patternType="solid">
        <fgColor rgb="00E0F2FE"/>
        <bgColor rgb="00E0F2FE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059669"/>
        <bgColor rgb="0005966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right" vertical="center"/>
    </xf>
    <xf numFmtId="0" fontId="0" fillId="2" borderId="1" pivotButton="0" quotePrefix="0" xfId="0"/>
    <xf numFmtId="1" fontId="1" fillId="2" borderId="1" applyAlignment="1" pivotButton="0" quotePrefix="0" xfId="0">
      <alignment horizontal="center" vertical="center" wrapText="1"/>
    </xf>
    <xf numFmtId="4" fontId="1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4" fontId="4" fillId="0" borderId="1" pivotButton="0" quotePrefix="0" xfId="0"/>
    <xf numFmtId="0" fontId="0" fillId="0" borderId="4" pivotButton="0" quotePrefix="0" xfId="0"/>
    <xf numFmtId="0" fontId="10" fillId="11" borderId="1" applyAlignment="1" pivotButton="0" quotePrefix="0" xfId="0">
      <alignment horizontal="left" vertical="center" wrapText="1"/>
    </xf>
    <xf numFmtId="0" fontId="0" fillId="11" borderId="1" pivotButton="0" quotePrefix="0" xfId="0"/>
    <xf numFmtId="0" fontId="11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1" fontId="4" fillId="15" borderId="1" applyAlignment="1" pivotButton="0" quotePrefix="0" xfId="0">
      <alignment horizontal="center" vertical="center" wrapText="1"/>
    </xf>
    <xf numFmtId="1" fontId="11" fillId="15" borderId="1" applyAlignment="1" pivotButton="0" quotePrefix="0" xfId="0">
      <alignment horizontal="center" vertical="center" wrapText="1"/>
    </xf>
    <xf numFmtId="4" fontId="4" fillId="15" borderId="1" applyAlignment="1" pivotButton="0" quotePrefix="0" xfId="0">
      <alignment horizontal="center" vertical="center" wrapText="1"/>
    </xf>
    <xf numFmtId="4" fontId="11" fillId="15" borderId="1" applyAlignment="1" pivotButton="0" quotePrefix="0" xfId="0">
      <alignment horizontal="center" vertical="center" wrapText="1"/>
    </xf>
    <xf numFmtId="0" fontId="0" fillId="15" borderId="1" pivotButton="0" quotePrefix="0" xfId="0"/>
    <xf numFmtId="0" fontId="11" fillId="14" borderId="1" applyAlignment="1" pivotButton="0" quotePrefix="0" xfId="0">
      <alignment horizontal="right" vertical="center"/>
    </xf>
    <xf numFmtId="1" fontId="11" fillId="14" borderId="1" applyAlignment="1" pivotButton="0" quotePrefix="0" xfId="0">
      <alignment horizontal="center" vertical="center" wrapText="1"/>
    </xf>
    <xf numFmtId="4" fontId="11" fillId="14" borderId="1" applyAlignment="1" pivotButton="0" quotePrefix="0" xfId="0">
      <alignment horizontal="center" vertical="center" wrapText="1"/>
    </xf>
    <xf numFmtId="4" fontId="5" fillId="13" borderId="5" applyAlignment="1" pivotButton="0" quotePrefix="0" xfId="0">
      <alignment horizontal="center" vertical="center" wrapText="1"/>
    </xf>
    <xf numFmtId="4" fontId="17" fillId="19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right" vertical="center"/>
    </xf>
    <xf numFmtId="1" fontId="5" fillId="11" borderId="1" applyAlignment="1" pivotButton="0" quotePrefix="0" xfId="0">
      <alignment horizontal="center" vertical="center" wrapText="1"/>
    </xf>
    <xf numFmtId="4" fontId="5" fillId="11" borderId="1" applyAlignment="1" pivotButton="0" quotePrefix="0" xfId="0">
      <alignment horizontal="center" vertical="center" wrapText="1"/>
    </xf>
    <xf numFmtId="0" fontId="10" fillId="20" borderId="1" applyAlignment="1" pivotButton="0" quotePrefix="0" xfId="0">
      <alignment horizontal="left" vertical="center" wrapText="1"/>
    </xf>
    <xf numFmtId="0" fontId="0" fillId="20" borderId="1" pivotButton="0" quotePrefix="0" xfId="0"/>
    <xf numFmtId="0" fontId="11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" fontId="4" fillId="10" borderId="1" applyAlignment="1" pivotButton="0" quotePrefix="0" xfId="0">
      <alignment horizontal="center" vertical="center" wrapText="1"/>
    </xf>
    <xf numFmtId="1" fontId="11" fillId="10" borderId="1" applyAlignment="1" pivotButton="0" quotePrefix="0" xfId="0">
      <alignment horizontal="center" vertical="center" wrapText="1"/>
    </xf>
    <xf numFmtId="4" fontId="4" fillId="10" borderId="1" applyAlignment="1" pivotButton="0" quotePrefix="0" xfId="0">
      <alignment horizontal="center" vertical="center" wrapText="1"/>
    </xf>
    <xf numFmtId="4" fontId="11" fillId="10" borderId="1" applyAlignment="1" pivotButton="0" quotePrefix="0" xfId="0">
      <alignment horizontal="center" vertical="center" wrapText="1"/>
    </xf>
    <xf numFmtId="0" fontId="0" fillId="10" borderId="1" pivotButton="0" quotePrefix="0" xfId="0"/>
    <xf numFmtId="0" fontId="11" fillId="19" borderId="1" applyAlignment="1" pivotButton="0" quotePrefix="0" xfId="0">
      <alignment horizontal="right" vertical="center"/>
    </xf>
    <xf numFmtId="1" fontId="11" fillId="19" borderId="1" applyAlignment="1" pivotButton="0" quotePrefix="0" xfId="0">
      <alignment horizontal="center" vertical="center" wrapText="1"/>
    </xf>
    <xf numFmtId="4" fontId="11" fillId="19" borderId="1" applyAlignment="1" pivotButton="0" quotePrefix="0" xfId="0">
      <alignment horizontal="center" vertical="center" wrapText="1"/>
    </xf>
    <xf numFmtId="0" fontId="5" fillId="20" borderId="1" applyAlignment="1" pivotButton="0" quotePrefix="0" xfId="0">
      <alignment horizontal="right" vertical="center"/>
    </xf>
    <xf numFmtId="1" fontId="5" fillId="20" borderId="1" applyAlignment="1" pivotButton="0" quotePrefix="0" xfId="0">
      <alignment horizontal="center" vertical="center" wrapText="1"/>
    </xf>
    <xf numFmtId="4" fontId="5" fillId="2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0" fillId="12" borderId="1" pivotButton="0" quotePrefix="0" xfId="0"/>
    <xf numFmtId="0" fontId="11" fillId="3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4" fontId="11" fillId="17" borderId="1" applyAlignment="1" pivotButton="0" quotePrefix="0" xfId="0">
      <alignment horizontal="center" vertical="center" wrapText="1"/>
    </xf>
    <xf numFmtId="4" fontId="11" fillId="18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4" fontId="1" fillId="8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right" vertical="center"/>
    </xf>
    <xf numFmtId="165" fontId="6" fillId="2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right" vertical="center"/>
    </xf>
    <xf numFmtId="0" fontId="0" fillId="9" borderId="1" pivotButton="0" quotePrefix="0" xfId="0"/>
    <xf numFmtId="0" fontId="8" fillId="9" borderId="1" applyAlignment="1" pivotButton="0" quotePrefix="0" xfId="0">
      <alignment horizontal="right" vertical="center"/>
    </xf>
    <xf numFmtId="4" fontId="9" fillId="10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10" fillId="11" borderId="0" applyAlignment="1" pivotButton="0" quotePrefix="0" xfId="0">
      <alignment horizontal="left" vertical="center" wrapText="1"/>
    </xf>
    <xf numFmtId="0" fontId="0" fillId="11" borderId="0" pivotButton="0" quotePrefix="0" xfId="0"/>
    <xf numFmtId="0" fontId="0" fillId="1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0" fillId="10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3" borderId="0" pivotButton="0" quotePrefix="0" xfId="0"/>
    <xf numFmtId="166" fontId="3" fillId="12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center" wrapText="1"/>
    </xf>
    <xf numFmtId="1" fontId="4" fillId="16" borderId="1" applyAlignment="1" pivotButton="0" quotePrefix="0" xfId="0">
      <alignment horizontal="center" vertical="center" wrapText="1"/>
    </xf>
    <xf numFmtId="4" fontId="0" fillId="17" borderId="1" applyAlignment="1" pivotButton="0" quotePrefix="0" xfId="0">
      <alignment horizontal="center" vertical="center" wrapText="1"/>
    </xf>
    <xf numFmtId="4" fontId="12" fillId="18" borderId="1" applyAlignment="1" pivotButton="0" quotePrefix="0" xfId="0">
      <alignment horizontal="center" vertical="center" wrapText="1"/>
    </xf>
    <xf numFmtId="4" fontId="13" fillId="19" borderId="1" applyAlignment="1" pivotButton="0" quotePrefix="0" xfId="0">
      <alignment horizontal="center" vertical="center" wrapText="1"/>
    </xf>
    <xf numFmtId="0" fontId="0" fillId="14" borderId="1" pivotButton="0" quotePrefix="0" xfId="0"/>
    <xf numFmtId="0" fontId="4" fillId="10" borderId="1" applyAlignment="1" pivotButton="0" quotePrefix="0" xfId="0">
      <alignment horizontal="left" vertical="center" wrapText="1"/>
    </xf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11" fillId="16" borderId="1" applyAlignment="1" pivotButton="0" quotePrefix="0" xfId="0">
      <alignment horizontal="left" vertical="center" wrapText="1"/>
    </xf>
    <xf numFmtId="1" fontId="11" fillId="16" borderId="1" applyAlignment="1" pivotButton="0" quotePrefix="0" xfId="0">
      <alignment horizontal="center" vertical="center" wrapText="1"/>
    </xf>
    <xf numFmtId="4" fontId="10" fillId="11" borderId="1" applyAlignment="1" pivotButton="0" quotePrefix="0" xfId="0">
      <alignment horizontal="center" vertical="center" wrapText="1"/>
    </xf>
    <xf numFmtId="0" fontId="10" fillId="20" borderId="0" applyAlignment="1" pivotButton="0" quotePrefix="0" xfId="0">
      <alignment horizontal="left" vertical="center" wrapText="1"/>
    </xf>
    <xf numFmtId="0" fontId="0" fillId="20" borderId="0" pivotButton="0" quotePrefix="0" xfId="0"/>
    <xf numFmtId="0" fontId="11" fillId="19" borderId="1" applyAlignment="1" pivotButton="0" quotePrefix="0" xfId="0">
      <alignment horizontal="center" vertical="center" wrapText="1"/>
    </xf>
    <xf numFmtId="4" fontId="10" fillId="20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right" vertical="center"/>
    </xf>
    <xf numFmtId="4" fontId="6" fillId="2" borderId="1" applyAlignment="1" pivotButton="0" quotePrefix="0" xfId="0">
      <alignment horizontal="center" vertical="center" wrapText="1"/>
    </xf>
    <xf numFmtId="4" fontId="5" fillId="2" borderId="1" applyAlignment="1" pivotButton="0" quotePrefix="0" xfId="0">
      <alignment horizontal="center" vertical="center" wrapText="1"/>
    </xf>
    <xf numFmtId="4" fontId="15" fillId="2" borderId="1" applyAlignment="1" pivotButton="0" quotePrefix="0" xfId="0">
      <alignment horizontal="center" vertical="center" wrapText="1"/>
    </xf>
    <xf numFmtId="4" fontId="16" fillId="2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Neto Pagado por Metodo</a:t>
            </a:r>
          </a:p>
        </rich>
      </tx>
    </title>
    <plotArea>
      <pieChart>
        <varyColors val="1"/>
        <ser>
          <idx val="0"/>
          <order val="0"/>
          <tx>
            <strRef>
              <f>'Dashboard'!G15</f>
            </strRef>
          </tx>
          <spPr>
            <a:ln>
              <a:prstDash val="solid"/>
            </a:ln>
          </spPr>
          <cat>
            <numRef>
              <f>'Dashboard'!$F$16:$F$17</f>
            </numRef>
          </cat>
          <val>
            <numRef>
              <f>'Dashboard'!$G$16:$G$17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13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D28D9"/>
    <outlinePr summaryBelow="1" summaryRight="1"/>
    <pageSetUpPr/>
  </sheetPr>
  <dimension ref="A1:D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 ht="36" customHeight="1">
      <c r="A1" s="1" t="inlineStr">
        <is>
          <t>CATALOGO DE EMPLEADOS</t>
        </is>
      </c>
    </row>
    <row r="2" ht="22" customHeight="1">
      <c r="A2" s="3" t="inlineStr">
        <is>
          <t>Edite esta lista y luego use: python planilla.py agregar --viernes YYYY-MM-DD</t>
        </is>
      </c>
    </row>
    <row r="4" ht="28" customHeight="1">
      <c r="A4" s="4" t="inlineStr">
        <is>
          <t>Nombre Completo</t>
        </is>
      </c>
      <c r="B4" s="4" t="inlineStr">
        <is>
          <t>Tipo de Pago</t>
        </is>
      </c>
      <c r="C4" s="4" t="inlineStr">
        <is>
          <t>Salario Fijo (₡)</t>
        </is>
      </c>
    </row>
    <row r="5">
      <c r="A5" s="15" t="inlineStr">
        <is>
          <t>Juan Perez</t>
        </is>
      </c>
      <c r="B5" s="16" t="inlineStr">
        <is>
          <t>Tarjeta</t>
        </is>
      </c>
      <c r="C5" s="17" t="n"/>
    </row>
    <row r="6">
      <c r="A6" s="15" t="inlineStr">
        <is>
          <t>Maria Lopez</t>
        </is>
      </c>
      <c r="B6" s="16" t="inlineStr">
        <is>
          <t>Efectivo</t>
        </is>
      </c>
      <c r="C6" s="17" t="n"/>
    </row>
    <row r="7">
      <c r="A7" s="5" t="n"/>
      <c r="B7" s="5" t="n"/>
      <c r="C7" s="5" t="n"/>
    </row>
    <row r="8">
      <c r="A8" s="5" t="n"/>
      <c r="B8" s="5" t="n"/>
      <c r="C8" s="5" t="n"/>
    </row>
    <row r="9">
      <c r="A9" s="5" t="n"/>
      <c r="B9" s="5" t="n"/>
      <c r="C9" s="5" t="n"/>
    </row>
    <row r="10">
      <c r="A10" s="5" t="n"/>
      <c r="B10" s="5" t="n"/>
      <c r="C10" s="5" t="n"/>
    </row>
    <row r="11">
      <c r="A11" s="5" t="n"/>
      <c r="B11" s="5" t="n"/>
      <c r="C11" s="5" t="n"/>
    </row>
    <row r="12">
      <c r="A12" s="5" t="n"/>
      <c r="B12" s="5" t="n"/>
      <c r="C12" s="5" t="n"/>
    </row>
    <row r="13">
      <c r="A13" s="5" t="n"/>
      <c r="B13" s="5" t="n"/>
      <c r="C13" s="5" t="n"/>
    </row>
    <row r="14">
      <c r="A14" s="5" t="n"/>
      <c r="B14" s="5" t="n"/>
      <c r="C14" s="5" t="n"/>
    </row>
    <row r="15">
      <c r="A15" s="5" t="n"/>
      <c r="B15" s="5" t="n"/>
      <c r="C15" s="5" t="n"/>
    </row>
    <row r="16">
      <c r="A16" s="5" t="n"/>
      <c r="B16" s="5" t="n"/>
      <c r="C16" s="5" t="n"/>
    </row>
    <row r="17">
      <c r="A17" s="5" t="n"/>
      <c r="B17" s="5" t="n"/>
      <c r="C17" s="5" t="n"/>
    </row>
    <row r="18">
      <c r="A18" s="5" t="n"/>
      <c r="B18" s="5" t="n"/>
      <c r="C18" s="5" t="n"/>
    </row>
    <row r="19">
      <c r="A19" s="5" t="n"/>
      <c r="B19" s="5" t="n"/>
      <c r="C19" s="5" t="n"/>
    </row>
    <row r="20">
      <c r="A20" s="5" t="n"/>
      <c r="B20" s="5" t="n"/>
      <c r="C20" s="5" t="n"/>
    </row>
    <row r="21">
      <c r="A21" s="5" t="n"/>
      <c r="B21" s="5" t="n"/>
      <c r="C21" s="5" t="n"/>
    </row>
    <row r="22">
      <c r="A22" s="5" t="n"/>
      <c r="B22" s="5" t="n"/>
      <c r="C22" s="5" t="n"/>
    </row>
    <row r="23">
      <c r="A23" s="5" t="n"/>
      <c r="B23" s="5" t="n"/>
      <c r="C23" s="5" t="n"/>
    </row>
    <row r="24">
      <c r="A24" s="5" t="n"/>
      <c r="B24" s="5" t="n"/>
      <c r="C24" s="5" t="n"/>
    </row>
    <row r="25">
      <c r="A25" s="5" t="n"/>
      <c r="B25" s="5" t="n"/>
      <c r="C25" s="5" t="n"/>
    </row>
    <row r="26">
      <c r="A26" s="5" t="n"/>
      <c r="B26" s="5" t="n"/>
      <c r="C26" s="5" t="n"/>
    </row>
    <row r="27">
      <c r="A27" s="5" t="n"/>
      <c r="B27" s="5" t="n"/>
      <c r="C27" s="5" t="n"/>
    </row>
    <row r="28">
      <c r="A28" s="5" t="n"/>
      <c r="B28" s="5" t="n"/>
      <c r="C28" s="5" t="n"/>
    </row>
    <row r="29">
      <c r="A29" s="5" t="n"/>
      <c r="B29" s="5" t="n"/>
      <c r="C29" s="5" t="n"/>
    </row>
  </sheetData>
  <mergeCells count="2">
    <mergeCell ref="A1:D1"/>
    <mergeCell ref="A2:D2"/>
  </mergeCells>
  <dataValidations count="1">
    <dataValidation sqref="B5 B6 B7 B8 B9 B10 B11 B12 B13 B14 B15 B16 B17 B18 B19 B20 B21 B22 B23 B24 B25 B26 B27 B28 B29" showDropDown="0" showInputMessage="0" showErrorMessage="0" allowBlank="0" prompt="Seleccione tipo" type="list">
      <formula1>"Tarjeta,Efectivo,Salario Fijo"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1923"/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 ht="40" customHeight="1">
      <c r="A1" s="1" t="inlineStr">
        <is>
          <t>RESUMEN MENSUAL DE PLANILLA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Totales acumulados del mes por empleado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30" customHeight="1">
      <c r="A4" s="4" t="inlineStr">
        <is>
          <t>Empleado</t>
        </is>
      </c>
      <c r="B4" s="4" t="inlineStr">
        <is>
          <t>Semana</t>
        </is>
      </c>
      <c r="C4" s="6" t="inlineStr">
        <is>
          <t>Hrs Diurnas</t>
        </is>
      </c>
      <c r="D4" s="6" t="inlineStr">
        <is>
          <t>Hrs Nocturnas</t>
        </is>
      </c>
      <c r="E4" s="6" t="inlineStr">
        <is>
          <t>Hrs Mixtas</t>
        </is>
      </c>
      <c r="F4" s="6" t="inlineStr">
        <is>
          <t>Hrs Totales</t>
        </is>
      </c>
      <c r="G4" s="7" t="inlineStr">
        <is>
          <t>Salario Bruto</t>
        </is>
      </c>
      <c r="H4" s="8" t="inlineStr">
        <is>
          <t>Rebajos</t>
        </is>
      </c>
      <c r="I4" s="9" t="inlineStr">
        <is>
          <t>Seguro</t>
        </is>
      </c>
      <c r="J4" s="10" t="inlineStr">
        <is>
          <t>Neto a Pagar</t>
        </is>
      </c>
    </row>
    <row r="5" ht="25" customHeight="1">
      <c r="A5" s="19" t="inlineStr">
        <is>
          <t xml:space="preserve">  PAGO POR TARJETA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  <c r="J5" s="20" t="n"/>
    </row>
    <row r="6">
      <c r="A6" s="21" t="inlineStr">
        <is>
          <t>Juan Perez</t>
        </is>
      </c>
      <c r="B6" s="22" t="inlineStr">
        <is>
          <t>Semana 10</t>
        </is>
      </c>
      <c r="C6" s="23">
        <f>'Semana 10'!J9</f>
        <v/>
      </c>
      <c r="D6" s="23">
        <f>'Semana 10'!J10</f>
        <v/>
      </c>
      <c r="E6" s="23">
        <f>'Semana 10'!J11</f>
        <v/>
      </c>
      <c r="F6" s="24">
        <f>'Semana 10'!J13</f>
        <v/>
      </c>
      <c r="G6" s="25">
        <f>'Semana 10'!L9</f>
        <v/>
      </c>
      <c r="H6" s="25">
        <f>'Semana 10'!R9-'Semana 10'!Q9</f>
        <v/>
      </c>
      <c r="I6" s="25" t="n">
        <v>0</v>
      </c>
      <c r="J6" s="26">
        <f>G6-H6</f>
        <v/>
      </c>
    </row>
    <row r="7">
      <c r="A7" s="27" t="n"/>
      <c r="B7" s="28" t="inlineStr">
        <is>
          <t>TOTAL MENSUAL</t>
        </is>
      </c>
      <c r="C7" s="29">
        <f>SUM(C6:C6)</f>
        <v/>
      </c>
      <c r="D7" s="29">
        <f>SUM(D6:D6)</f>
        <v/>
      </c>
      <c r="E7" s="29">
        <f>SUM(E6:E6)</f>
        <v/>
      </c>
      <c r="F7" s="29">
        <f>SUM(F6:F6)</f>
        <v/>
      </c>
      <c r="G7" s="30">
        <f>SUM(G6:G6)</f>
        <v/>
      </c>
      <c r="H7" s="30">
        <f>SUM(H6:H6)</f>
        <v/>
      </c>
      <c r="I7" s="31" t="n">
        <v>10498</v>
      </c>
      <c r="J7" s="32">
        <f>G7-H7-I7</f>
        <v/>
      </c>
    </row>
    <row r="8" ht="25" customHeight="1">
      <c r="A8" s="33" t="inlineStr">
        <is>
          <t>TOTAL PAGO POR TARJETA</t>
        </is>
      </c>
      <c r="B8" s="20" t="n"/>
      <c r="C8" s="34">
        <f>SUMIF(B6:B7, "TOTAL MENSUAL", C6:C7)</f>
        <v/>
      </c>
      <c r="D8" s="34">
        <f>SUMIF(B6:B7, "TOTAL MENSUAL", D6:D7)</f>
        <v/>
      </c>
      <c r="E8" s="34">
        <f>SUMIF(B6:B7, "TOTAL MENSUAL", E6:E7)</f>
        <v/>
      </c>
      <c r="F8" s="34">
        <f>SUMIF(B6:B7, "TOTAL MENSUAL", F6:F7)</f>
        <v/>
      </c>
      <c r="G8" s="35">
        <f>SUMIF(B6:B7, "TOTAL MENSUAL", G6:G7)</f>
        <v/>
      </c>
      <c r="H8" s="35">
        <f>SUMIF(B6:B7, "TOTAL MENSUAL", H6:H7)</f>
        <v/>
      </c>
      <c r="I8" s="35">
        <f>SUMIF(B6:B7, "TOTAL MENSUAL", I6:I7)</f>
        <v/>
      </c>
      <c r="J8" s="35">
        <f>SUMIF(B6:B7, "TOTAL MENSUAL", J6:J7)</f>
        <v/>
      </c>
    </row>
    <row r="9"/>
    <row r="10" ht="25" customHeight="1">
      <c r="A10" s="36" t="inlineStr">
        <is>
          <t xml:space="preserve">  PAGO EN EFECTIVO</t>
        </is>
      </c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</row>
    <row r="11">
      <c r="A11" s="38" t="inlineStr">
        <is>
          <t>Maria Lopez</t>
        </is>
      </c>
      <c r="B11" s="39" t="inlineStr">
        <is>
          <t>Semana 10</t>
        </is>
      </c>
      <c r="C11" s="40">
        <f>'Semana 10'!J20</f>
        <v/>
      </c>
      <c r="D11" s="40">
        <f>'Semana 10'!J21</f>
        <v/>
      </c>
      <c r="E11" s="40">
        <f>'Semana 10'!J22</f>
        <v/>
      </c>
      <c r="F11" s="41">
        <f>'Semana 10'!J24</f>
        <v/>
      </c>
      <c r="G11" s="42">
        <f>'Semana 10'!L20</f>
        <v/>
      </c>
      <c r="H11" s="42">
        <f>'Semana 10'!R20-'Semana 10'!Q20</f>
        <v/>
      </c>
      <c r="I11" s="42" t="n">
        <v>0</v>
      </c>
      <c r="J11" s="43">
        <f>G11-H11</f>
        <v/>
      </c>
    </row>
    <row r="12">
      <c r="A12" s="44" t="n"/>
      <c r="B12" s="45" t="inlineStr">
        <is>
          <t>TOTAL MENSUAL</t>
        </is>
      </c>
      <c r="C12" s="46">
        <f>SUM(C11:C11)</f>
        <v/>
      </c>
      <c r="D12" s="46">
        <f>SUM(D11:D11)</f>
        <v/>
      </c>
      <c r="E12" s="46">
        <f>SUM(E11:E11)</f>
        <v/>
      </c>
      <c r="F12" s="46">
        <f>SUM(F11:F11)</f>
        <v/>
      </c>
      <c r="G12" s="47">
        <f>SUM(G11:G11)</f>
        <v/>
      </c>
      <c r="H12" s="47">
        <f>SUM(H11:H11)</f>
        <v/>
      </c>
      <c r="I12" s="31" t="n">
        <v>10498</v>
      </c>
      <c r="J12" s="32">
        <f>G12-H12-I12</f>
        <v/>
      </c>
    </row>
    <row r="13" ht="25" customHeight="1">
      <c r="A13" s="48" t="inlineStr">
        <is>
          <t>TOTAL PAGO EN EFECTIVO</t>
        </is>
      </c>
      <c r="B13" s="37" t="n"/>
      <c r="C13" s="49">
        <f>SUMIF(B11:B12, "TOTAL MENSUAL", C11:C12)</f>
        <v/>
      </c>
      <c r="D13" s="49">
        <f>SUMIF(B11:B12, "TOTAL MENSUAL", D11:D12)</f>
        <v/>
      </c>
      <c r="E13" s="49">
        <f>SUMIF(B11:B12, "TOTAL MENSUAL", E11:E12)</f>
        <v/>
      </c>
      <c r="F13" s="49">
        <f>SUMIF(B11:B12, "TOTAL MENSUAL", F11:F12)</f>
        <v/>
      </c>
      <c r="G13" s="50">
        <f>SUMIF(B11:B12, "TOTAL MENSUAL", G11:G12)</f>
        <v/>
      </c>
      <c r="H13" s="50">
        <f>SUMIF(B11:B12, "TOTAL MENSUAL", H11:H12)</f>
        <v/>
      </c>
      <c r="I13" s="50">
        <f>SUMIF(B11:B12, "TOTAL MENSUAL", I11:I12)</f>
        <v/>
      </c>
      <c r="J13" s="50">
        <f>SUMIF(B11:B12, "TOTAL MENSUAL", J11:J12)</f>
        <v/>
      </c>
    </row>
    <row r="14"/>
    <row r="15" ht="30" customHeight="1">
      <c r="A15" s="11" t="inlineStr">
        <is>
          <t>GRAN TOTAL MENSUAL</t>
        </is>
      </c>
      <c r="B15" s="12" t="n"/>
      <c r="C15" s="13">
        <f>C8+C13</f>
        <v/>
      </c>
      <c r="D15" s="13">
        <f>D8+D13</f>
        <v/>
      </c>
      <c r="E15" s="13">
        <f>E8+E13</f>
        <v/>
      </c>
      <c r="F15" s="13">
        <f>F8+F13</f>
        <v/>
      </c>
      <c r="G15" s="14">
        <f>G8+G13</f>
        <v/>
      </c>
      <c r="H15" s="14">
        <f>H8+H13</f>
        <v/>
      </c>
      <c r="I15" s="14">
        <f>I8+I13</f>
        <v/>
      </c>
      <c r="J15" s="14">
        <f>J8+J13</f>
        <v/>
      </c>
    </row>
  </sheetData>
  <mergeCells count="9">
    <mergeCell ref="A5:J5"/>
    <mergeCell ref="A2:I2"/>
    <mergeCell ref="A15:B15"/>
    <mergeCell ref="A1:I1"/>
    <mergeCell ref="A13:B13"/>
    <mergeCell ref="A6:A7"/>
    <mergeCell ref="A8:B8"/>
    <mergeCell ref="A11:A12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47857"/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3" customWidth="1" min="4" max="4"/>
    <col width="22" customWidth="1" min="6" max="6"/>
    <col width="15" customWidth="1" min="7" max="7"/>
  </cols>
  <sheetData>
    <row r="1" ht="40" customHeight="1">
      <c r="A1" s="1" t="inlineStr">
        <is>
          <t>DASHBOARD - RESUMEN GRAFICO DEL 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Semanas procesadas: 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4">
      <c r="A4" s="51" t="inlineStr">
        <is>
          <t>DATOS POR SEMANA</t>
        </is>
      </c>
      <c r="B4" s="52" t="n"/>
      <c r="C4" s="52" t="n"/>
      <c r="D4" s="52" t="n"/>
    </row>
    <row r="5">
      <c r="A5" s="53" t="inlineStr">
        <is>
          <t>Semana</t>
        </is>
      </c>
      <c r="B5" s="54" t="inlineStr">
        <is>
          <t>Bruto</t>
        </is>
      </c>
      <c r="C5" s="55" t="inlineStr">
        <is>
          <t>Neto</t>
        </is>
      </c>
    </row>
    <row r="14">
      <c r="A14" s="51" t="inlineStr">
        <is>
          <t>TOTALES DEL MES</t>
        </is>
      </c>
      <c r="B14" s="52" t="n"/>
      <c r="C14" s="52" t="n"/>
      <c r="D14" s="52" t="n"/>
      <c r="F14" s="51" t="inlineStr">
        <is>
          <t>DISTRIBUCION DE METODO DE PAGO</t>
        </is>
      </c>
      <c r="G14" s="52" t="n"/>
      <c r="H14" s="52" t="n"/>
    </row>
    <row r="15">
      <c r="A15" s="21" t="inlineStr">
        <is>
          <t>Total Bruto</t>
        </is>
      </c>
      <c r="B15" s="30">
        <f>'Resumen Mensual'!G15</f>
        <v/>
      </c>
      <c r="F15" s="53" t="inlineStr">
        <is>
          <t>Metodo</t>
        </is>
      </c>
      <c r="G15" s="55" t="inlineStr">
        <is>
          <t>Total Neto</t>
        </is>
      </c>
    </row>
    <row r="16">
      <c r="A16" s="38" t="inlineStr">
        <is>
          <t>Tot. Rebajos</t>
        </is>
      </c>
      <c r="B16" s="56">
        <f>'Resumen Mensual'!H15</f>
        <v/>
      </c>
      <c r="F16" s="22" t="inlineStr">
        <is>
          <t>PAGO POR TARJETA</t>
        </is>
      </c>
      <c r="G16" s="25">
        <f>'Resumen Mensual'!J8</f>
        <v/>
      </c>
    </row>
    <row r="17">
      <c r="A17" s="21" t="inlineStr">
        <is>
          <t>Tot. Seguros</t>
        </is>
      </c>
      <c r="B17" s="57">
        <f>'Resumen Mensual'!I15</f>
        <v/>
      </c>
      <c r="F17" s="22" t="inlineStr">
        <is>
          <t>PAGO EN EFECTIVO</t>
        </is>
      </c>
      <c r="G17" s="25">
        <f>'Resumen Mensual'!J13</f>
        <v/>
      </c>
    </row>
    <row r="18">
      <c r="A18" s="58" t="inlineStr">
        <is>
          <t>TOTAL NETO</t>
        </is>
      </c>
      <c r="B18" s="59">
        <f>'Resumen Mensual'!J15</f>
        <v/>
      </c>
    </row>
  </sheetData>
  <mergeCells count="5">
    <mergeCell ref="A1:J1"/>
    <mergeCell ref="F14:H14"/>
    <mergeCell ref="A4:D4"/>
    <mergeCell ref="A2:J2"/>
    <mergeCell ref="A14:D14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563EB"/>
    <outlinePr summaryBelow="1" summaryRight="1"/>
    <pageSetUpPr/>
  </sheetPr>
  <dimension ref="A1:S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2" customWidth="1" min="11" max="11"/>
    <col width="14" customWidth="1" min="12" max="12"/>
    <col width="12" customWidth="1" min="13" max="13"/>
    <col width="11" customWidth="1" min="14" max="14"/>
    <col width="11" customWidth="1" min="15" max="15"/>
    <col width="11" customWidth="1" min="16" max="16"/>
    <col width="12" customWidth="1" min="17" max="17"/>
    <col width="13" customWidth="1" min="18" max="18"/>
    <col width="13" customWidth="1" min="19" max="19"/>
  </cols>
  <sheetData>
    <row r="1" ht="40" customHeight="1">
      <c r="A1" s="1" t="inlineStr">
        <is>
          <t>PLANILLA DE PAGO SEMANAL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8" customHeight="1">
      <c r="A2" s="60" t="inlineStr">
        <is>
          <t>PERIODO:</t>
        </is>
      </c>
      <c r="B2" s="2" t="n"/>
      <c r="C2" s="61" t="n">
        <v>46087</v>
      </c>
      <c r="D2" s="3" t="inlineStr">
        <is>
          <t>a</t>
        </is>
      </c>
      <c r="E2" s="61">
        <f>$C$2+6</f>
        <v/>
      </c>
      <c r="F2" s="2" t="n"/>
      <c r="G2" s="3" t="inlineStr">
        <is>
          <t>Semana #10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6" customHeight="1">
      <c r="A3" s="62" t="inlineStr">
        <is>
          <t>TARIFAS (₡/hora):</t>
        </is>
      </c>
      <c r="B3" s="63" t="n"/>
      <c r="C3" s="64" t="inlineStr">
        <is>
          <t>Diurna:</t>
        </is>
      </c>
      <c r="D3" s="65" t="n">
        <v>50</v>
      </c>
      <c r="E3" s="64" t="inlineStr">
        <is>
          <t>Tarifa Mixta:</t>
        </is>
      </c>
      <c r="F3" s="65" t="n">
        <v>62.5</v>
      </c>
      <c r="G3" s="64" t="inlineStr">
        <is>
          <t>Tarifa Noct:</t>
        </is>
      </c>
      <c r="H3" s="65" t="n">
        <v>75</v>
      </c>
      <c r="I3" s="64" t="inlineStr">
        <is>
          <t>Tarifa Extra:</t>
        </is>
      </c>
      <c r="J3" s="65">
        <f>$D$3*1.5</f>
        <v/>
      </c>
      <c r="K3" s="66" t="n"/>
      <c r="L3" s="66" t="n"/>
      <c r="M3" s="66" t="n"/>
      <c r="N3" s="66" t="n"/>
      <c r="O3" s="66" t="n"/>
      <c r="P3" s="66" t="n"/>
      <c r="Q3" s="66" t="n"/>
      <c r="R3" s="66" t="n"/>
      <c r="S3" s="66" t="n"/>
    </row>
    <row r="5" ht="30" customHeight="1">
      <c r="A5" s="67" t="inlineStr">
        <is>
          <t xml:space="preserve">  PAGO POR TARJETA</t>
        </is>
      </c>
      <c r="B5" s="68" t="n"/>
      <c r="C5" s="68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68" t="n"/>
      <c r="P5" s="68" t="n"/>
      <c r="Q5" s="68" t="n"/>
      <c r="R5" s="68" t="n"/>
      <c r="S5" s="68" t="n"/>
    </row>
    <row r="6" ht="18" customHeight="1">
      <c r="A6" s="69" t="n"/>
      <c r="B6" s="69" t="n"/>
      <c r="C6" s="70" t="inlineStr">
        <is>
          <t>HORAS POR JORNADA</t>
        </is>
      </c>
      <c r="D6" s="71" t="n"/>
      <c r="E6" s="71" t="n"/>
      <c r="F6" s="71" t="n"/>
      <c r="G6" s="71" t="n"/>
      <c r="H6" s="71" t="n"/>
      <c r="I6" s="71" t="n"/>
      <c r="J6" s="71" t="n"/>
      <c r="K6" s="72" t="n"/>
      <c r="L6" s="73" t="inlineStr">
        <is>
          <t>DEDUCCION / RESUMEN SEMANAL</t>
        </is>
      </c>
      <c r="M6" s="69" t="n"/>
      <c r="N6" s="69" t="n"/>
      <c r="O6" s="69" t="n"/>
      <c r="P6" s="69" t="n"/>
      <c r="Q6" s="69" t="n"/>
      <c r="R6" s="69" t="n"/>
      <c r="S6" s="69" t="n"/>
    </row>
    <row r="7" ht="24" customHeight="1">
      <c r="A7" s="4" t="inlineStr">
        <is>
          <t>Empleado</t>
        </is>
      </c>
      <c r="B7" s="4" t="inlineStr">
        <is>
          <t>Jornada</t>
        </is>
      </c>
      <c r="C7" s="6" t="inlineStr">
        <is>
          <t>Viernes</t>
        </is>
      </c>
      <c r="D7" s="6" t="inlineStr">
        <is>
          <t>Sabado</t>
        </is>
      </c>
      <c r="E7" s="6" t="inlineStr">
        <is>
          <t>Domingo</t>
        </is>
      </c>
      <c r="F7" s="6" t="inlineStr">
        <is>
          <t>Lunes</t>
        </is>
      </c>
      <c r="G7" s="6" t="inlineStr">
        <is>
          <t>Martes</t>
        </is>
      </c>
      <c r="H7" s="6" t="inlineStr">
        <is>
          <t>Miercoles</t>
        </is>
      </c>
      <c r="I7" s="6" t="inlineStr">
        <is>
          <t>Jueves</t>
        </is>
      </c>
      <c r="J7" s="6" t="inlineStr">
        <is>
          <t>TOTAL</t>
        </is>
      </c>
      <c r="K7" s="72" t="n"/>
      <c r="L7" s="7" t="inlineStr">
        <is>
          <t>Bruto</t>
        </is>
      </c>
      <c r="M7" s="8" t="inlineStr">
        <is>
          <t>Prestamo</t>
        </is>
      </c>
      <c r="N7" s="8" t="inlineStr">
        <is>
          <t>Combust.</t>
        </is>
      </c>
      <c r="O7" s="8" t="inlineStr">
        <is>
          <t>Mercad.</t>
        </is>
      </c>
      <c r="P7" s="8" t="inlineStr">
        <is>
          <t>Adelanto</t>
        </is>
      </c>
      <c r="Q7" s="74" t="inlineStr">
        <is>
          <t>Seguro</t>
        </is>
      </c>
      <c r="R7" s="8" t="inlineStr">
        <is>
          <t>Tot.Ded.</t>
        </is>
      </c>
      <c r="S7" s="10" t="inlineStr">
        <is>
          <t>NETO</t>
        </is>
      </c>
    </row>
    <row r="8" ht="20" customHeight="1">
      <c r="A8" s="75" t="n"/>
      <c r="B8" s="51" t="inlineStr">
        <is>
          <t>Fecha:</t>
        </is>
      </c>
      <c r="C8" s="76">
        <f>$C$2+0</f>
        <v/>
      </c>
      <c r="D8" s="76">
        <f>$C$2+1</f>
        <v/>
      </c>
      <c r="E8" s="76">
        <f>$C$2+2</f>
        <v/>
      </c>
      <c r="F8" s="76">
        <f>$C$2+3</f>
        <v/>
      </c>
      <c r="G8" s="76">
        <f>$C$2+4</f>
        <v/>
      </c>
      <c r="H8" s="76">
        <f>$C$2+5</f>
        <v/>
      </c>
      <c r="I8" s="76">
        <f>$C$2+6</f>
        <v/>
      </c>
      <c r="J8" s="69" t="n"/>
      <c r="K8" s="72" t="n"/>
      <c r="L8" s="75" t="n"/>
      <c r="M8" s="75" t="n"/>
      <c r="N8" s="75" t="n"/>
      <c r="O8" s="75" t="n"/>
      <c r="P8" s="75" t="n"/>
      <c r="Q8" s="75" t="n"/>
      <c r="R8" s="75" t="n"/>
      <c r="S8" s="75" t="n"/>
    </row>
    <row r="9">
      <c r="A9" s="77" t="inlineStr">
        <is>
          <t>Juan Perez</t>
        </is>
      </c>
      <c r="B9" s="78" t="inlineStr">
        <is>
          <t>Hrs. Diurnas</t>
        </is>
      </c>
      <c r="C9" s="23" t="n"/>
      <c r="D9" s="23" t="n"/>
      <c r="E9" s="23" t="n"/>
      <c r="F9" s="23" t="n"/>
      <c r="G9" s="23" t="n"/>
      <c r="H9" s="23" t="n"/>
      <c r="I9" s="23" t="n"/>
      <c r="J9" s="79">
        <f>C9+D9+E9+F9+G9+H9+I9</f>
        <v/>
      </c>
      <c r="K9" s="72" t="n"/>
      <c r="L9" s="30">
        <f>J9*$D$3+J10*$F$3+J11*$H$3+J12*$J$3</f>
        <v/>
      </c>
      <c r="M9" s="80" t="n"/>
      <c r="N9" s="80" t="n"/>
      <c r="O9" s="80" t="n"/>
      <c r="P9" s="80" t="n"/>
      <c r="Q9" s="81" t="n">
        <v>10498</v>
      </c>
      <c r="R9" s="56">
        <f>SUM(M9:Q9)</f>
        <v/>
      </c>
      <c r="S9" s="82">
        <f>L9-R9</f>
        <v/>
      </c>
    </row>
    <row r="10">
      <c r="A10" s="83" t="n"/>
      <c r="B10" s="84" t="inlineStr">
        <is>
          <t>Hrs. Mixtas</t>
        </is>
      </c>
      <c r="C10" s="40" t="n"/>
      <c r="D10" s="40" t="n"/>
      <c r="E10" s="40" t="n"/>
      <c r="F10" s="40" t="n"/>
      <c r="G10" s="40" t="n"/>
      <c r="H10" s="40" t="n"/>
      <c r="I10" s="40" t="n"/>
      <c r="J10" s="79">
        <f>C10+D10+E10+F10+G10+H10+I10</f>
        <v/>
      </c>
      <c r="K10" s="72" t="n"/>
      <c r="L10" s="83" t="n"/>
      <c r="M10" s="85" t="n"/>
      <c r="N10" s="85" t="n"/>
      <c r="O10" s="85" t="n"/>
      <c r="P10" s="85" t="n"/>
      <c r="Q10" s="86" t="n"/>
      <c r="R10" s="85" t="n"/>
      <c r="S10" s="87" t="n"/>
    </row>
    <row r="11">
      <c r="A11" s="83" t="n"/>
      <c r="B11" s="78" t="inlineStr">
        <is>
          <t>Hrs. Nocturnas</t>
        </is>
      </c>
      <c r="C11" s="23" t="n"/>
      <c r="D11" s="23" t="n"/>
      <c r="E11" s="23" t="n"/>
      <c r="F11" s="23" t="n"/>
      <c r="G11" s="23" t="n"/>
      <c r="H11" s="23" t="n"/>
      <c r="I11" s="23" t="n"/>
      <c r="J11" s="79">
        <f>C11+D11+E11+F11+G11+H11+I11</f>
        <v/>
      </c>
      <c r="K11" s="72" t="n"/>
      <c r="L11" s="83" t="n"/>
      <c r="M11" s="85" t="n"/>
      <c r="N11" s="85" t="n"/>
      <c r="O11" s="85" t="n"/>
      <c r="P11" s="85" t="n"/>
      <c r="Q11" s="86" t="n"/>
      <c r="R11" s="85" t="n"/>
      <c r="S11" s="87" t="n"/>
    </row>
    <row r="12">
      <c r="A12" s="83" t="n"/>
      <c r="B12" s="84" t="inlineStr">
        <is>
          <t>Hrs. Extra</t>
        </is>
      </c>
      <c r="C12" s="40" t="n"/>
      <c r="D12" s="40" t="n"/>
      <c r="E12" s="40" t="n"/>
      <c r="F12" s="40" t="n"/>
      <c r="G12" s="40" t="n"/>
      <c r="H12" s="40" t="n"/>
      <c r="I12" s="40" t="n"/>
      <c r="J12" s="79">
        <f>C12+D12+E12+F12+G12+H12+I12</f>
        <v/>
      </c>
      <c r="K12" s="72" t="n"/>
      <c r="L12" s="83" t="n"/>
      <c r="M12" s="85" t="n"/>
      <c r="N12" s="85" t="n"/>
      <c r="O12" s="85" t="n"/>
      <c r="P12" s="85" t="n"/>
      <c r="Q12" s="86" t="n"/>
      <c r="R12" s="85" t="n"/>
      <c r="S12" s="87" t="n"/>
    </row>
    <row r="13">
      <c r="A13" s="83" t="n"/>
      <c r="B13" s="88" t="inlineStr">
        <is>
          <t>TOTAL HORAS</t>
        </is>
      </c>
      <c r="C13" s="89">
        <f>C9+C10+C11+C12</f>
        <v/>
      </c>
      <c r="D13" s="89">
        <f>D9+D10+D11+D12</f>
        <v/>
      </c>
      <c r="E13" s="89">
        <f>E9+E10+E11+E12</f>
        <v/>
      </c>
      <c r="F13" s="89">
        <f>F9+F10+F11+F12</f>
        <v/>
      </c>
      <c r="G13" s="89">
        <f>G9+G10+G11+G12</f>
        <v/>
      </c>
      <c r="H13" s="89">
        <f>H9+H10+H11+H12</f>
        <v/>
      </c>
      <c r="I13" s="89">
        <f>I9+I10+I11+I12</f>
        <v/>
      </c>
      <c r="J13" s="89">
        <f>C13+D13+E13+F13+G13+H13+I13</f>
        <v/>
      </c>
      <c r="K13" s="72" t="n"/>
      <c r="L13" s="83" t="n"/>
      <c r="M13" s="85" t="n"/>
      <c r="N13" s="85" t="n"/>
      <c r="O13" s="85" t="n"/>
      <c r="P13" s="85" t="n"/>
      <c r="Q13" s="86" t="n"/>
      <c r="R13" s="85" t="n"/>
      <c r="S13" s="87" t="n"/>
    </row>
    <row r="14" ht="28" customHeight="1">
      <c r="A14" s="33" t="inlineStr">
        <is>
          <t>TOTAL PAGO POR TARJETA</t>
        </is>
      </c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35">
        <f>L9</f>
        <v/>
      </c>
      <c r="M14" s="35">
        <f>M9</f>
        <v/>
      </c>
      <c r="N14" s="35">
        <f>N9</f>
        <v/>
      </c>
      <c r="O14" s="35">
        <f>O9</f>
        <v/>
      </c>
      <c r="P14" s="35">
        <f>P9</f>
        <v/>
      </c>
      <c r="Q14" s="35">
        <f>Q9</f>
        <v/>
      </c>
      <c r="R14" s="35">
        <f>R9</f>
        <v/>
      </c>
      <c r="S14" s="90">
        <f>L14-R14</f>
        <v/>
      </c>
    </row>
    <row r="15"/>
    <row r="16" ht="30" customHeight="1">
      <c r="A16" s="91" t="inlineStr">
        <is>
          <t xml:space="preserve">  PAGO EN EFECTIVO</t>
        </is>
      </c>
      <c r="B16" s="92" t="n"/>
      <c r="C16" s="92" t="n"/>
      <c r="D16" s="92" t="n"/>
      <c r="E16" s="92" t="n"/>
      <c r="F16" s="92" t="n"/>
      <c r="G16" s="92" t="n"/>
      <c r="H16" s="92" t="n"/>
      <c r="I16" s="92" t="n"/>
      <c r="J16" s="92" t="n"/>
      <c r="K16" s="92" t="n"/>
      <c r="L16" s="92" t="n"/>
      <c r="M16" s="92" t="n"/>
      <c r="N16" s="92" t="n"/>
      <c r="O16" s="92" t="n"/>
      <c r="P16" s="92" t="n"/>
      <c r="Q16" s="92" t="n"/>
      <c r="R16" s="92" t="n"/>
      <c r="S16" s="92" t="n"/>
    </row>
    <row r="17" ht="18" customHeight="1">
      <c r="A17" s="69" t="n"/>
      <c r="B17" s="69" t="n"/>
      <c r="C17" s="70" t="inlineStr">
        <is>
          <t>HORAS POR JORNADA</t>
        </is>
      </c>
      <c r="D17" s="71" t="n"/>
      <c r="E17" s="71" t="n"/>
      <c r="F17" s="71" t="n"/>
      <c r="G17" s="71" t="n"/>
      <c r="H17" s="71" t="n"/>
      <c r="I17" s="71" t="n"/>
      <c r="J17" s="71" t="n"/>
      <c r="K17" s="72" t="n"/>
      <c r="L17" s="73" t="inlineStr">
        <is>
          <t>DEDUCCION / RESUMEN SEMANAL</t>
        </is>
      </c>
      <c r="M17" s="69" t="n"/>
      <c r="N17" s="69" t="n"/>
      <c r="O17" s="69" t="n"/>
      <c r="P17" s="69" t="n"/>
      <c r="Q17" s="69" t="n"/>
      <c r="R17" s="69" t="n"/>
      <c r="S17" s="69" t="n"/>
    </row>
    <row r="18" ht="24" customHeight="1">
      <c r="A18" s="4" t="inlineStr">
        <is>
          <t>Empleado</t>
        </is>
      </c>
      <c r="B18" s="4" t="inlineStr">
        <is>
          <t>Jornada</t>
        </is>
      </c>
      <c r="C18" s="6" t="inlineStr">
        <is>
          <t>Viernes</t>
        </is>
      </c>
      <c r="D18" s="6" t="inlineStr">
        <is>
          <t>Sabado</t>
        </is>
      </c>
      <c r="E18" s="6" t="inlineStr">
        <is>
          <t>Domingo</t>
        </is>
      </c>
      <c r="F18" s="6" t="inlineStr">
        <is>
          <t>Lunes</t>
        </is>
      </c>
      <c r="G18" s="6" t="inlineStr">
        <is>
          <t>Martes</t>
        </is>
      </c>
      <c r="H18" s="6" t="inlineStr">
        <is>
          <t>Miercoles</t>
        </is>
      </c>
      <c r="I18" s="6" t="inlineStr">
        <is>
          <t>Jueves</t>
        </is>
      </c>
      <c r="J18" s="6" t="inlineStr">
        <is>
          <t>TOTAL</t>
        </is>
      </c>
      <c r="K18" s="72" t="n"/>
      <c r="L18" s="7" t="inlineStr">
        <is>
          <t>Bruto</t>
        </is>
      </c>
      <c r="M18" s="8" t="inlineStr">
        <is>
          <t>Prestamo</t>
        </is>
      </c>
      <c r="N18" s="8" t="inlineStr">
        <is>
          <t>Combust.</t>
        </is>
      </c>
      <c r="O18" s="8" t="inlineStr">
        <is>
          <t>Mercad.</t>
        </is>
      </c>
      <c r="P18" s="8" t="inlineStr">
        <is>
          <t>Adelanto</t>
        </is>
      </c>
      <c r="Q18" s="74" t="inlineStr">
        <is>
          <t>Seguro</t>
        </is>
      </c>
      <c r="R18" s="8" t="inlineStr">
        <is>
          <t>Tot.Ded.</t>
        </is>
      </c>
      <c r="S18" s="10" t="inlineStr">
        <is>
          <t>NETO</t>
        </is>
      </c>
    </row>
    <row r="19" ht="20" customHeight="1">
      <c r="A19" s="75" t="n"/>
      <c r="B19" s="51" t="inlineStr">
        <is>
          <t>Fecha:</t>
        </is>
      </c>
      <c r="C19" s="76">
        <f>$C$2+0</f>
        <v/>
      </c>
      <c r="D19" s="76">
        <f>$C$2+1</f>
        <v/>
      </c>
      <c r="E19" s="76">
        <f>$C$2+2</f>
        <v/>
      </c>
      <c r="F19" s="76">
        <f>$C$2+3</f>
        <v/>
      </c>
      <c r="G19" s="76">
        <f>$C$2+4</f>
        <v/>
      </c>
      <c r="H19" s="76">
        <f>$C$2+5</f>
        <v/>
      </c>
      <c r="I19" s="76">
        <f>$C$2+6</f>
        <v/>
      </c>
      <c r="J19" s="69" t="n"/>
      <c r="K19" s="72" t="n"/>
      <c r="L19" s="75" t="n"/>
      <c r="M19" s="75" t="n"/>
      <c r="N19" s="75" t="n"/>
      <c r="O19" s="75" t="n"/>
      <c r="P19" s="75" t="n"/>
      <c r="Q19" s="75" t="n"/>
      <c r="R19" s="75" t="n"/>
      <c r="S19" s="75" t="n"/>
    </row>
    <row r="20">
      <c r="A20" s="93" t="inlineStr">
        <is>
          <t>Maria Lopez</t>
        </is>
      </c>
      <c r="B20" s="78" t="inlineStr">
        <is>
          <t>Hrs. Diurnas</t>
        </is>
      </c>
      <c r="C20" s="23" t="n"/>
      <c r="D20" s="23" t="n"/>
      <c r="E20" s="23" t="n"/>
      <c r="F20" s="23" t="n"/>
      <c r="G20" s="23" t="n"/>
      <c r="H20" s="23" t="n"/>
      <c r="I20" s="23" t="n"/>
      <c r="J20" s="79">
        <f>C20+D20+E20+F20+G20+H20+I20</f>
        <v/>
      </c>
      <c r="K20" s="72" t="n"/>
      <c r="L20" s="30">
        <f>J20*$D$3+J21*$F$3+J22*$H$3+J23*$J$3</f>
        <v/>
      </c>
      <c r="M20" s="80" t="n"/>
      <c r="N20" s="80" t="n"/>
      <c r="O20" s="80" t="n"/>
      <c r="P20" s="80" t="n"/>
      <c r="Q20" s="81" t="n">
        <v>10498</v>
      </c>
      <c r="R20" s="56">
        <f>SUM(M20:Q20)</f>
        <v/>
      </c>
      <c r="S20" s="82">
        <f>L20-R20</f>
        <v/>
      </c>
    </row>
    <row r="21">
      <c r="A21" s="87" t="n"/>
      <c r="B21" s="84" t="inlineStr">
        <is>
          <t>Hrs. Mixtas</t>
        </is>
      </c>
      <c r="C21" s="40" t="n"/>
      <c r="D21" s="40" t="n"/>
      <c r="E21" s="40" t="n"/>
      <c r="F21" s="40" t="n"/>
      <c r="G21" s="40" t="n"/>
      <c r="H21" s="40" t="n"/>
      <c r="I21" s="40" t="n"/>
      <c r="J21" s="79">
        <f>C21+D21+E21+F21+G21+H21+I21</f>
        <v/>
      </c>
      <c r="K21" s="72" t="n"/>
      <c r="L21" s="83" t="n"/>
      <c r="M21" s="85" t="n"/>
      <c r="N21" s="85" t="n"/>
      <c r="O21" s="85" t="n"/>
      <c r="P21" s="85" t="n"/>
      <c r="Q21" s="86" t="n"/>
      <c r="R21" s="85" t="n"/>
      <c r="S21" s="87" t="n"/>
    </row>
    <row r="22">
      <c r="A22" s="87" t="n"/>
      <c r="B22" s="78" t="inlineStr">
        <is>
          <t>Hrs. Nocturnas</t>
        </is>
      </c>
      <c r="C22" s="23" t="n"/>
      <c r="D22" s="23" t="n"/>
      <c r="E22" s="23" t="n"/>
      <c r="F22" s="23" t="n"/>
      <c r="G22" s="23" t="n"/>
      <c r="H22" s="23" t="n"/>
      <c r="I22" s="23" t="n"/>
      <c r="J22" s="79">
        <f>C22+D22+E22+F22+G22+H22+I22</f>
        <v/>
      </c>
      <c r="K22" s="72" t="n"/>
      <c r="L22" s="83" t="n"/>
      <c r="M22" s="85" t="n"/>
      <c r="N22" s="85" t="n"/>
      <c r="O22" s="85" t="n"/>
      <c r="P22" s="85" t="n"/>
      <c r="Q22" s="86" t="n"/>
      <c r="R22" s="85" t="n"/>
      <c r="S22" s="87" t="n"/>
    </row>
    <row r="23">
      <c r="A23" s="87" t="n"/>
      <c r="B23" s="84" t="inlineStr">
        <is>
          <t>Hrs. Extra</t>
        </is>
      </c>
      <c r="C23" s="40" t="n"/>
      <c r="D23" s="40" t="n"/>
      <c r="E23" s="40" t="n"/>
      <c r="F23" s="40" t="n"/>
      <c r="G23" s="40" t="n"/>
      <c r="H23" s="40" t="n"/>
      <c r="I23" s="40" t="n"/>
      <c r="J23" s="79">
        <f>C23+D23+E23+F23+G23+H23+I23</f>
        <v/>
      </c>
      <c r="K23" s="72" t="n"/>
      <c r="L23" s="83" t="n"/>
      <c r="M23" s="85" t="n"/>
      <c r="N23" s="85" t="n"/>
      <c r="O23" s="85" t="n"/>
      <c r="P23" s="85" t="n"/>
      <c r="Q23" s="86" t="n"/>
      <c r="R23" s="85" t="n"/>
      <c r="S23" s="87" t="n"/>
    </row>
    <row r="24">
      <c r="A24" s="87" t="n"/>
      <c r="B24" s="88" t="inlineStr">
        <is>
          <t>TOTAL HORAS</t>
        </is>
      </c>
      <c r="C24" s="89">
        <f>C20+C21+C22+C23</f>
        <v/>
      </c>
      <c r="D24" s="89">
        <f>D20+D21+D22+D23</f>
        <v/>
      </c>
      <c r="E24" s="89">
        <f>E20+E21+E22+E23</f>
        <v/>
      </c>
      <c r="F24" s="89">
        <f>F20+F21+F22+F23</f>
        <v/>
      </c>
      <c r="G24" s="89">
        <f>G20+G21+G22+G23</f>
        <v/>
      </c>
      <c r="H24" s="89">
        <f>H20+H21+H22+H23</f>
        <v/>
      </c>
      <c r="I24" s="89">
        <f>I20+I21+I22+I23</f>
        <v/>
      </c>
      <c r="J24" s="89">
        <f>C24+D24+E24+F24+G24+H24+I24</f>
        <v/>
      </c>
      <c r="K24" s="72" t="n"/>
      <c r="L24" s="83" t="n"/>
      <c r="M24" s="85" t="n"/>
      <c r="N24" s="85" t="n"/>
      <c r="O24" s="85" t="n"/>
      <c r="P24" s="85" t="n"/>
      <c r="Q24" s="86" t="n"/>
      <c r="R24" s="85" t="n"/>
      <c r="S24" s="87" t="n"/>
    </row>
    <row r="25" ht="28" customHeight="1">
      <c r="A25" s="48" t="inlineStr">
        <is>
          <t>TOTAL PAGO EN EFECTIVO</t>
        </is>
      </c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50">
        <f>L20</f>
        <v/>
      </c>
      <c r="M25" s="50">
        <f>M20</f>
        <v/>
      </c>
      <c r="N25" s="50">
        <f>N20</f>
        <v/>
      </c>
      <c r="O25" s="50">
        <f>O20</f>
        <v/>
      </c>
      <c r="P25" s="50">
        <f>P20</f>
        <v/>
      </c>
      <c r="Q25" s="50">
        <f>Q20</f>
        <v/>
      </c>
      <c r="R25" s="50">
        <f>R20</f>
        <v/>
      </c>
      <c r="S25" s="94">
        <f>L25-R25</f>
        <v/>
      </c>
    </row>
    <row r="26"/>
    <row r="27" ht="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</row>
    <row r="28" ht="22" customHeight="1">
      <c r="A28" s="95" t="inlineStr">
        <is>
          <t>GRAN TOTAL DE LA SEMANA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96">
        <f>L14+L25</f>
        <v/>
      </c>
      <c r="M28" s="97">
        <f>M14+M25</f>
        <v/>
      </c>
      <c r="N28" s="97">
        <f>N14+N25</f>
        <v/>
      </c>
      <c r="O28" s="97">
        <f>O14+O25</f>
        <v/>
      </c>
      <c r="P28" s="97">
        <f>P14+P25</f>
        <v/>
      </c>
      <c r="Q28" s="97">
        <f>Q14+Q25</f>
        <v/>
      </c>
      <c r="R28" s="98">
        <f>R14+R25</f>
        <v/>
      </c>
      <c r="S28" s="99">
        <f>L28-R28</f>
        <v/>
      </c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</row>
    <row r="30" ht="4" customHeigh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</row>
  </sheetData>
  <mergeCells count="43">
    <mergeCell ref="L17:S17"/>
    <mergeCell ref="A5:S5"/>
    <mergeCell ref="S9:S13"/>
    <mergeCell ref="L20:L24"/>
    <mergeCell ref="R20:R24"/>
    <mergeCell ref="C6:J6"/>
    <mergeCell ref="N9:N13"/>
    <mergeCell ref="A20:A24"/>
    <mergeCell ref="L28:L29"/>
    <mergeCell ref="R28:R29"/>
    <mergeCell ref="Q9:Q13"/>
    <mergeCell ref="A6:B6"/>
    <mergeCell ref="L9:L13"/>
    <mergeCell ref="A9:A13"/>
    <mergeCell ref="A25:K25"/>
    <mergeCell ref="S20:S24"/>
    <mergeCell ref="M28:M29"/>
    <mergeCell ref="S28:S29"/>
    <mergeCell ref="R9:R13"/>
    <mergeCell ref="A3:B3"/>
    <mergeCell ref="P20:P24"/>
    <mergeCell ref="A30:S30"/>
    <mergeCell ref="A2:B2"/>
    <mergeCell ref="P28:P29"/>
    <mergeCell ref="O9:O13"/>
    <mergeCell ref="A28:K29"/>
    <mergeCell ref="N20:N24"/>
    <mergeCell ref="A1:S1"/>
    <mergeCell ref="P9:P13"/>
    <mergeCell ref="N28:N29"/>
    <mergeCell ref="A17:B17"/>
    <mergeCell ref="A14:K14"/>
    <mergeCell ref="M20:M24"/>
    <mergeCell ref="A16:S16"/>
    <mergeCell ref="M9:M13"/>
    <mergeCell ref="G2:I2"/>
    <mergeCell ref="C17:J17"/>
    <mergeCell ref="L6:S6"/>
    <mergeCell ref="O20:O24"/>
    <mergeCell ref="Q20:Q24"/>
    <mergeCell ref="A27:S27"/>
    <mergeCell ref="O28:O29"/>
    <mergeCell ref="Q28:Q29"/>
  </mergeCells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00059669"/>
    <outlinePr summaryBelow="1" summaryRight="1"/>
    <pageSetUpPr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3" customWidth="1" min="7" max="7"/>
    <col width="13" customWidth="1" min="8" max="8"/>
    <col width="15" customWidth="1" min="9" max="9"/>
  </cols>
  <sheetData>
    <row r="1" ht="36" customHeight="1">
      <c r="A1" s="1" t="inlineStr">
        <is>
          <t>RESUMEN SEMANAL - Semana 10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06/03/2026  →  12/03/2026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4" ht="28" customHeight="1">
      <c r="A4" s="4" t="inlineStr">
        <is>
          <t>Empleado</t>
        </is>
      </c>
      <c r="B4" s="6" t="inlineStr">
        <is>
          <t>Hrs Diurnas</t>
        </is>
      </c>
      <c r="C4" s="6" t="inlineStr">
        <is>
          <t>Hrs Mixtas</t>
        </is>
      </c>
      <c r="D4" s="6" t="inlineStr">
        <is>
          <t>Hrs Nocturnas</t>
        </is>
      </c>
      <c r="E4" s="6" t="inlineStr">
        <is>
          <t>Total Hrs</t>
        </is>
      </c>
      <c r="F4" s="7" t="inlineStr">
        <is>
          <t>Bruto (₡)</t>
        </is>
      </c>
      <c r="G4" s="8" t="inlineStr">
        <is>
          <t>Rebajos (₡)</t>
        </is>
      </c>
      <c r="H4" s="74" t="inlineStr">
        <is>
          <t>Seguro (₡)</t>
        </is>
      </c>
      <c r="I4" s="10" t="inlineStr">
        <is>
          <t>NETO (₡)</t>
        </is>
      </c>
    </row>
    <row r="5" ht="25" customHeight="1">
      <c r="A5" s="19" t="inlineStr">
        <is>
          <t xml:space="preserve">  PAGO POR TARJETA</t>
        </is>
      </c>
      <c r="B5" s="20" t="n"/>
      <c r="C5" s="20" t="n"/>
      <c r="D5" s="20" t="n"/>
      <c r="E5" s="20" t="n"/>
      <c r="F5" s="20" t="n"/>
      <c r="G5" s="20" t="n"/>
      <c r="H5" s="20" t="n"/>
      <c r="I5" s="20" t="n"/>
    </row>
    <row r="6">
      <c r="A6" s="100" t="inlineStr">
        <is>
          <t>Juan Perez</t>
        </is>
      </c>
      <c r="B6" s="23">
        <f>'Semana 10'!J9</f>
        <v/>
      </c>
      <c r="C6" s="23">
        <f>'Semana 10'!J10</f>
        <v/>
      </c>
      <c r="D6" s="23">
        <f>'Semana 10'!J11</f>
        <v/>
      </c>
      <c r="E6" s="24">
        <f>'Semana 10'!J13</f>
        <v/>
      </c>
      <c r="F6" s="25">
        <f>'Semana 10'!L9</f>
        <v/>
      </c>
      <c r="G6" s="25">
        <f>'Semana 10'!R9-'Semana 10'!Q9</f>
        <v/>
      </c>
      <c r="H6" s="25">
        <f>'Semana 10'!Q9</f>
        <v/>
      </c>
      <c r="I6" s="26">
        <f>'Semana 10'!S9</f>
        <v/>
      </c>
    </row>
    <row r="7" ht="25" customHeight="1">
      <c r="A7" s="33" t="inlineStr">
        <is>
          <t>TOTAL PAGO POR TARJETA</t>
        </is>
      </c>
      <c r="B7" s="34">
        <f>SUM(B6:B6)</f>
        <v/>
      </c>
      <c r="C7" s="34">
        <f>SUM(C6:C6)</f>
        <v/>
      </c>
      <c r="D7" s="34">
        <f>SUM(D6:D6)</f>
        <v/>
      </c>
      <c r="E7" s="34">
        <f>SUM(E6:E6)</f>
        <v/>
      </c>
      <c r="F7" s="35">
        <f>SUM(F6:F6)</f>
        <v/>
      </c>
      <c r="G7" s="35">
        <f>SUM(G6:G6)</f>
        <v/>
      </c>
      <c r="H7" s="35">
        <f>SUM(H6:H6)</f>
        <v/>
      </c>
      <c r="I7" s="35">
        <f>SUM(I6:I6)</f>
        <v/>
      </c>
    </row>
    <row r="9" ht="25" customHeight="1">
      <c r="A9" s="36" t="inlineStr">
        <is>
          <t xml:space="preserve">  PAGO EN EFECTIVO</t>
        </is>
      </c>
      <c r="B9" s="37" t="n"/>
      <c r="C9" s="37" t="n"/>
      <c r="D9" s="37" t="n"/>
      <c r="E9" s="37" t="n"/>
      <c r="F9" s="37" t="n"/>
      <c r="G9" s="37" t="n"/>
      <c r="H9" s="37" t="n"/>
      <c r="I9" s="37" t="n"/>
    </row>
    <row r="10">
      <c r="A10" s="100" t="inlineStr">
        <is>
          <t>Maria Lopez</t>
        </is>
      </c>
      <c r="B10" s="23">
        <f>'Semana 10'!J20</f>
        <v/>
      </c>
      <c r="C10" s="23">
        <f>'Semana 10'!J21</f>
        <v/>
      </c>
      <c r="D10" s="23">
        <f>'Semana 10'!J22</f>
        <v/>
      </c>
      <c r="E10" s="24">
        <f>'Semana 10'!J24</f>
        <v/>
      </c>
      <c r="F10" s="25">
        <f>'Semana 10'!L20</f>
        <v/>
      </c>
      <c r="G10" s="25">
        <f>'Semana 10'!R20-'Semana 10'!Q20</f>
        <v/>
      </c>
      <c r="H10" s="25">
        <f>'Semana 10'!Q20</f>
        <v/>
      </c>
      <c r="I10" s="26">
        <f>'Semana 10'!S20</f>
        <v/>
      </c>
    </row>
    <row r="11" ht="25" customHeight="1">
      <c r="A11" s="48" t="inlineStr">
        <is>
          <t>TOTAL PAGO EN EFECTIVO</t>
        </is>
      </c>
      <c r="B11" s="49">
        <f>SUM(B10:B10)</f>
        <v/>
      </c>
      <c r="C11" s="49">
        <f>SUM(C10:C10)</f>
        <v/>
      </c>
      <c r="D11" s="49">
        <f>SUM(D10:D10)</f>
        <v/>
      </c>
      <c r="E11" s="49">
        <f>SUM(E10:E10)</f>
        <v/>
      </c>
      <c r="F11" s="50">
        <f>SUM(F10:F10)</f>
        <v/>
      </c>
      <c r="G11" s="50">
        <f>SUM(G10:G10)</f>
        <v/>
      </c>
      <c r="H11" s="50">
        <f>SUM(H10:H10)</f>
        <v/>
      </c>
      <c r="I11" s="50">
        <f>SUM(I10:I10)</f>
        <v/>
      </c>
    </row>
    <row r="13" ht="30" customHeight="1">
      <c r="A13" s="11" t="inlineStr">
        <is>
          <t>GRAN TOTAL SEMANAL</t>
        </is>
      </c>
      <c r="B13" s="13">
        <f>B7+B11</f>
        <v/>
      </c>
      <c r="C13" s="13">
        <f>C7+C11</f>
        <v/>
      </c>
      <c r="D13" s="13">
        <f>D7+D11</f>
        <v/>
      </c>
      <c r="E13" s="13">
        <f>E7+E11</f>
        <v/>
      </c>
      <c r="F13" s="14">
        <f>F7+F11</f>
        <v/>
      </c>
      <c r="G13" s="14">
        <f>G7+G11</f>
        <v/>
      </c>
      <c r="H13" s="14">
        <f>H7+H11</f>
        <v/>
      </c>
      <c r="I13" s="14">
        <f>I7+I11</f>
        <v/>
      </c>
    </row>
  </sheetData>
  <mergeCells count="7">
    <mergeCell ref="A2:I2"/>
    <mergeCell ref="A5:I5"/>
    <mergeCell ref="A7"/>
    <mergeCell ref="A1:I1"/>
    <mergeCell ref="A9:I9"/>
    <mergeCell ref="A13"/>
    <mergeCell ref="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2026-03-07T02:47:45Z</dcterms:created>
  <dcterms:modified xsi:type="dcterms:W3CDTF">2026-03-07T02:51:43Z</dcterms:modified>
</cp:coreProperties>
</file>